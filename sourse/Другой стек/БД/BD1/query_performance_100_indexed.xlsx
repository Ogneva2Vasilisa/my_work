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isa\Documents\BD\BD1\"/>
    </mc:Choice>
  </mc:AlternateContent>
  <xr:revisionPtr revIDLastSave="0" documentId="13_ncr:1_{4A3C4C32-F6BA-4B48-A3D0-E8A1C44A4B83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query_performance_new_new" sheetId="3" state="hidden" r:id="rId1"/>
    <sheet name="Лист1" sheetId="2" r:id="rId2"/>
    <sheet name="query_performance_100_indexed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2" l="1"/>
  <c r="U8" i="2"/>
  <c r="V7" i="2"/>
  <c r="U7" i="2"/>
  <c r="V6" i="2"/>
  <c r="U6" i="2"/>
  <c r="V5" i="2"/>
  <c r="U5" i="2"/>
  <c r="V4" i="2"/>
  <c r="U4" i="2"/>
  <c r="V3" i="2"/>
  <c r="U3" i="2"/>
  <c r="V2" i="2"/>
  <c r="U2" i="2"/>
  <c r="U19" i="1"/>
  <c r="V19" i="1"/>
  <c r="U20" i="1"/>
  <c r="V20" i="1"/>
  <c r="U21" i="1"/>
  <c r="V21" i="1"/>
  <c r="U22" i="1"/>
  <c r="V22" i="1"/>
  <c r="U23" i="1"/>
  <c r="V23" i="1"/>
  <c r="V18" i="1"/>
  <c r="U18" i="1"/>
  <c r="V11" i="1"/>
  <c r="V12" i="1"/>
  <c r="V13" i="1"/>
  <c r="V14" i="1"/>
  <c r="V15" i="1"/>
  <c r="U11" i="1"/>
  <c r="U12" i="1"/>
  <c r="U13" i="1"/>
  <c r="U14" i="1"/>
  <c r="U15" i="1"/>
  <c r="V10" i="1"/>
  <c r="U10" i="1"/>
  <c r="V3" i="1"/>
  <c r="V4" i="1"/>
  <c r="V5" i="1"/>
  <c r="V6" i="1"/>
  <c r="V7" i="1"/>
  <c r="V2" i="1"/>
  <c r="U3" i="1"/>
  <c r="U4" i="1"/>
  <c r="U5" i="1"/>
  <c r="U6" i="1"/>
  <c r="U7" i="1"/>
  <c r="U2" i="1"/>
</calcChain>
</file>

<file path=xl/sharedStrings.xml><?xml version="1.0" encoding="utf-8"?>
<sst xmlns="http://schemas.openxmlformats.org/spreadsheetml/2006/main" count="110" uniqueCount="20">
  <si>
    <t>Query</t>
  </si>
  <si>
    <t>Sum_time_star</t>
  </si>
  <si>
    <t>Avg_time_star</t>
  </si>
  <si>
    <t>Min_time_star</t>
  </si>
  <si>
    <t>Max_time_star</t>
  </si>
  <si>
    <t>Sum_time_snowflake</t>
  </si>
  <si>
    <t>Avg_time_snowflake</t>
  </si>
  <si>
    <t>Min_time_snowflake</t>
  </si>
  <si>
    <t>Max_time_snowflake</t>
  </si>
  <si>
    <t>traffic_per_day</t>
  </si>
  <si>
    <t>events_per_day</t>
  </si>
  <si>
    <t>top_source_ips</t>
  </si>
  <si>
    <t>blocked_connections</t>
  </si>
  <si>
    <t>events_by_log_type_action</t>
  </si>
  <si>
    <t>traffic_by_protocol_threat</t>
  </si>
  <si>
    <t>итого star</t>
  </si>
  <si>
    <t>итого snowfalke</t>
  </si>
  <si>
    <t>стало лучше (меньше времени) во сколько раз в процентах</t>
  </si>
  <si>
    <t>Avg_time_star_indexed</t>
  </si>
  <si>
    <t>Avg_time_snowflake_indexed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</si>
</sst>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Сравнение среднего</a:t>
            </a:r>
            <a:r>
              <a:rPr lang="ru-RU" sz="1200" baseline="0"/>
              <a:t> времени выполнения на Звезде и Снежинке</a:t>
            </a:r>
            <a:endParaRPr lang="ru-RU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Avg_time_star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0.58610099999999998</c:v>
                </c:pt>
                <c:pt idx="1">
                  <c:v>0.44101000000000001</c:v>
                </c:pt>
                <c:pt idx="2">
                  <c:v>0.57115499999999997</c:v>
                </c:pt>
                <c:pt idx="3">
                  <c:v>0.35354799999999997</c:v>
                </c:pt>
                <c:pt idx="4">
                  <c:v>0.630965</c:v>
                </c:pt>
                <c:pt idx="5">
                  <c:v>0.72714100000000004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6-4859-858B-583F4ABD2B28}"/>
            </c:ext>
          </c:extLst>
        </c:ser>
        <c:ser>
          <c:idx val="1"/>
          <c:order val="1"/>
          <c:tx>
            <c:strRef>
              <c:f>Лист1!$G$1</c:f>
              <c:strCache>
                <c:ptCount val="1"/>
                <c:pt idx="0">
                  <c:v>Avg_time_snowflake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Лист1!$G$2:$G$7</c:f>
              <c:numCache>
                <c:formatCode>General</c:formatCode>
                <c:ptCount val="6"/>
                <c:pt idx="0">
                  <c:v>0.79951499999999998</c:v>
                </c:pt>
                <c:pt idx="1">
                  <c:v>0.59326999999999996</c:v>
                </c:pt>
                <c:pt idx="2">
                  <c:v>0.66725000000000001</c:v>
                </c:pt>
                <c:pt idx="3">
                  <c:v>0.43772899999999998</c:v>
                </c:pt>
                <c:pt idx="4">
                  <c:v>0.72958199999999995</c:v>
                </c:pt>
                <c:pt idx="5">
                  <c:v>0.81873300000000004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6-4859-858B-583F4ABD2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7301935"/>
        <c:axId val="927299439"/>
      </c:barChart>
      <c:catAx>
        <c:axId val="92730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299439"/>
        <c:crosses val="autoZero"/>
        <c:auto val="1"/>
        <c:lblAlgn val="ctr"/>
        <c:lblOffset val="100"/>
        <c:noMultiLvlLbl val="0"/>
      </c:catAx>
      <c:valAx>
        <c:axId val="9272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30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0" i="0" baseline="0">
                <a:effectLst/>
              </a:rPr>
              <a:t>Сравнение среднего времени выполнения на Звезде и Снежинке с индексами</a:t>
            </a:r>
            <a:endParaRPr lang="ru-RU" sz="1050">
              <a:effectLst/>
            </a:endParaRPr>
          </a:p>
        </c:rich>
      </c:tx>
      <c:layout>
        <c:manualLayout>
          <c:xMode val="edge"/>
          <c:yMode val="edge"/>
          <c:x val="9.9895669291338585E-2"/>
          <c:y val="1.94312013072455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Лист1!$M$1</c:f>
              <c:strCache>
                <c:ptCount val="1"/>
                <c:pt idx="0">
                  <c:v>Avg_time_star_indexed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Лист1!$K$2:$K$7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Лист1!$M$2:$M$7</c:f>
              <c:numCache>
                <c:formatCode>General</c:formatCode>
                <c:ptCount val="6"/>
                <c:pt idx="0">
                  <c:v>0.58185100000000001</c:v>
                </c:pt>
                <c:pt idx="1">
                  <c:v>0.41440700000000003</c:v>
                </c:pt>
                <c:pt idx="2">
                  <c:v>0.55848799999999998</c:v>
                </c:pt>
                <c:pt idx="3">
                  <c:v>0.30522899999999997</c:v>
                </c:pt>
                <c:pt idx="4">
                  <c:v>0.59273500000000001</c:v>
                </c:pt>
                <c:pt idx="5">
                  <c:v>0.72113700000000003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E-4A11-8974-7165C7996E85}"/>
            </c:ext>
          </c:extLst>
        </c:ser>
        <c:ser>
          <c:idx val="1"/>
          <c:order val="1"/>
          <c:tx>
            <c:strRef>
              <c:f>Лист1!$Q$1</c:f>
              <c:strCache>
                <c:ptCount val="1"/>
                <c:pt idx="0">
                  <c:v>Avg_time_snowflake_indexed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Лист1!$K$2:$K$7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Лист1!$Q$2:$Q$7</c:f>
              <c:numCache>
                <c:formatCode>General</c:formatCode>
                <c:ptCount val="6"/>
                <c:pt idx="0">
                  <c:v>0.79808900000000005</c:v>
                </c:pt>
                <c:pt idx="1">
                  <c:v>0.42945699999999998</c:v>
                </c:pt>
                <c:pt idx="2">
                  <c:v>0.63704099999999997</c:v>
                </c:pt>
                <c:pt idx="3">
                  <c:v>0.30669600000000002</c:v>
                </c:pt>
                <c:pt idx="4">
                  <c:v>0.60087100000000004</c:v>
                </c:pt>
                <c:pt idx="5">
                  <c:v>0.81388000000000005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E-4A11-8974-7165C799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1024863"/>
        <c:axId val="1751023199"/>
      </c:barChart>
      <c:catAx>
        <c:axId val="17510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1023199"/>
        <c:crosses val="autoZero"/>
        <c:auto val="1"/>
        <c:lblAlgn val="ctr"/>
        <c:lblOffset val="100"/>
        <c:noMultiLvlLbl val="0"/>
      </c:catAx>
      <c:valAx>
        <c:axId val="175102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10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Avg_time_star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Avg_time_star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Лист1!$C$2:$C$7</c:f>
              <c:numCache>
                <c:formatCode>General</c:formatCode>
                <c:ptCount val="6"/>
                <c:pt idx="0">
                  <c:v>0.58610099999999998</c:v>
                </c:pt>
                <c:pt idx="1">
                  <c:v>0.44101000000000001</c:v>
                </c:pt>
                <c:pt idx="2">
                  <c:v>0.57115499999999997</c:v>
                </c:pt>
                <c:pt idx="3">
                  <c:v>0.35354799999999997</c:v>
                </c:pt>
                <c:pt idx="4">
                  <c:v>0.630965</c:v>
                </c:pt>
                <c:pt idx="5">
                  <c:v>0.72714100000000004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8-4378-BB86-07444273C385}"/>
            </c:ext>
          </c:extLst>
        </c:ser>
        <c:ser>
          <c:idx val="1"/>
          <c:order val="1"/>
          <c:tx>
            <c:strRef>
              <c:f>Лист1!$M$1</c:f>
              <c:strCache>
                <c:ptCount val="1"/>
                <c:pt idx="0">
                  <c:v>Avg_time_star_indexed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Лист1!$A$2:$A$7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Лист1!$M$2:$M$7</c:f>
              <c:numCache>
                <c:formatCode>General</c:formatCode>
                <c:ptCount val="6"/>
                <c:pt idx="0">
                  <c:v>0.58185100000000001</c:v>
                </c:pt>
                <c:pt idx="1">
                  <c:v>0.41440700000000003</c:v>
                </c:pt>
                <c:pt idx="2">
                  <c:v>0.55848799999999998</c:v>
                </c:pt>
                <c:pt idx="3">
                  <c:v>0.30522899999999997</c:v>
                </c:pt>
                <c:pt idx="4">
                  <c:v>0.59273500000000001</c:v>
                </c:pt>
                <c:pt idx="5">
                  <c:v>0.72113700000000003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8-4378-BB86-07444273C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644143"/>
        <c:axId val="926646223"/>
      </c:barChart>
      <c:catAx>
        <c:axId val="92664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646223"/>
        <c:crosses val="autoZero"/>
        <c:auto val="1"/>
        <c:lblAlgn val="ctr"/>
        <c:lblOffset val="100"/>
        <c:noMultiLvlLbl val="0"/>
      </c:catAx>
      <c:valAx>
        <c:axId val="92664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664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Avg_time_snowflake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Avg_time_snowflake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Лист1!$K$2:$K$7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Лист1!$G$2:$G$7</c:f>
              <c:numCache>
                <c:formatCode>General</c:formatCode>
                <c:ptCount val="6"/>
                <c:pt idx="0">
                  <c:v>0.79951499999999998</c:v>
                </c:pt>
                <c:pt idx="1">
                  <c:v>0.59326999999999996</c:v>
                </c:pt>
                <c:pt idx="2">
                  <c:v>0.66725000000000001</c:v>
                </c:pt>
                <c:pt idx="3">
                  <c:v>0.43772899999999998</c:v>
                </c:pt>
                <c:pt idx="4">
                  <c:v>0.72958199999999995</c:v>
                </c:pt>
                <c:pt idx="5">
                  <c:v>0.81873300000000004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A52-9D03-2B271705271D}"/>
            </c:ext>
          </c:extLst>
        </c:ser>
        <c:ser>
          <c:idx val="1"/>
          <c:order val="1"/>
          <c:tx>
            <c:strRef>
              <c:f>Лист1!$Q$1</c:f>
              <c:strCache>
                <c:ptCount val="1"/>
                <c:pt idx="0">
                  <c:v>Avg_time_snowflake_indexed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Лист1!$K$2:$K$7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Лист1!$Q$2:$Q$7</c:f>
              <c:numCache>
                <c:formatCode>General</c:formatCode>
                <c:ptCount val="6"/>
                <c:pt idx="0">
                  <c:v>0.79808900000000005</c:v>
                </c:pt>
                <c:pt idx="1">
                  <c:v>0.42945699999999998</c:v>
                </c:pt>
                <c:pt idx="2">
                  <c:v>0.63704099999999997</c:v>
                </c:pt>
                <c:pt idx="3">
                  <c:v>0.30669600000000002</c:v>
                </c:pt>
                <c:pt idx="4">
                  <c:v>0.60087100000000004</c:v>
                </c:pt>
                <c:pt idx="5">
                  <c:v>0.81388000000000005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C-4A52-9D03-2B2717052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252543"/>
        <c:axId val="925254623"/>
      </c:barChart>
      <c:catAx>
        <c:axId val="92525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254623"/>
        <c:crosses val="autoZero"/>
        <c:auto val="1"/>
        <c:lblAlgn val="ctr"/>
        <c:lblOffset val="100"/>
        <c:noMultiLvlLbl val="0"/>
      </c:catAx>
      <c:valAx>
        <c:axId val="9252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525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query_performance_100_indexed!$M$9</c:f>
              <c:strCache>
                <c:ptCount val="1"/>
                <c:pt idx="0">
                  <c:v>Avg_time_star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query_performance_100_indexed!$K$10:$K$15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query_performance_100_indexed!$M$10:$M$15</c:f>
              <c:numCache>
                <c:formatCode>General</c:formatCode>
                <c:ptCount val="6"/>
                <c:pt idx="0">
                  <c:v>0.56317799999999996</c:v>
                </c:pt>
                <c:pt idx="1">
                  <c:v>0.41603499999999999</c:v>
                </c:pt>
                <c:pt idx="2">
                  <c:v>0.54599799999999998</c:v>
                </c:pt>
                <c:pt idx="3">
                  <c:v>0.30618099999999998</c:v>
                </c:pt>
                <c:pt idx="4">
                  <c:v>0.58951100000000001</c:v>
                </c:pt>
                <c:pt idx="5">
                  <c:v>0.72377899999999995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2-4401-8CC8-2A3653B61EE8}"/>
            </c:ext>
          </c:extLst>
        </c:ser>
        <c:ser>
          <c:idx val="1"/>
          <c:order val="1"/>
          <c:tx>
            <c:strRef>
              <c:f>query_performance_100_indexed!$Q$9</c:f>
              <c:strCache>
                <c:ptCount val="1"/>
                <c:pt idx="0">
                  <c:v>Avg_time_snowflake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query_performance_100_indexed!$K$10:$K$15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query_performance_100_indexed!$Q$10:$Q$15</c:f>
              <c:numCache>
                <c:formatCode>General</c:formatCode>
                <c:ptCount val="6"/>
                <c:pt idx="0">
                  <c:v>0.78105100000000005</c:v>
                </c:pt>
                <c:pt idx="1">
                  <c:v>0.43171799999999999</c:v>
                </c:pt>
                <c:pt idx="2">
                  <c:v>0.63869500000000001</c:v>
                </c:pt>
                <c:pt idx="3">
                  <c:v>0.30455599999999999</c:v>
                </c:pt>
                <c:pt idx="4">
                  <c:v>0.58615799999999996</c:v>
                </c:pt>
                <c:pt idx="5">
                  <c:v>0.82241900000000001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2-4401-8CC8-2A3653B61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777999"/>
        <c:axId val="2101779247"/>
      </c:barChart>
      <c:catAx>
        <c:axId val="21017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1779247"/>
        <c:crosses val="autoZero"/>
        <c:auto val="1"/>
        <c:lblAlgn val="ctr"/>
        <c:lblOffset val="100"/>
        <c:noMultiLvlLbl val="0"/>
      </c:catAx>
      <c:valAx>
        <c:axId val="210177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177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query_performance_100_indexed!$C$1</c:f>
              <c:strCache>
                <c:ptCount val="1"/>
                <c:pt idx="0">
                  <c:v>Avg_time_star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query_performance_100_indexed!$A$2:$A$7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query_performance_100_indexed!$C$2:$C$7</c:f>
              <c:numCache>
                <c:formatCode>General</c:formatCode>
                <c:ptCount val="6"/>
                <c:pt idx="0">
                  <c:v>0.58610099999999998</c:v>
                </c:pt>
                <c:pt idx="1">
                  <c:v>0.44101000000000001</c:v>
                </c:pt>
                <c:pt idx="2">
                  <c:v>0.57115499999999997</c:v>
                </c:pt>
                <c:pt idx="3">
                  <c:v>0.35354799999999997</c:v>
                </c:pt>
                <c:pt idx="4">
                  <c:v>0.630965</c:v>
                </c:pt>
                <c:pt idx="5">
                  <c:v>0.72714100000000004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9-4340-B66A-A65AC8A1EB02}"/>
            </c:ext>
          </c:extLst>
        </c:ser>
        <c:ser>
          <c:idx val="1"/>
          <c:order val="1"/>
          <c:tx>
            <c:strRef>
              <c:f>query_performance_100_indexed!$G$1</c:f>
              <c:strCache>
                <c:ptCount val="1"/>
                <c:pt idx="0">
                  <c:v>Avg_time_snowflake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query_performance_100_indexed!$A$2:$A$7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query_performance_100_indexed!$G$2:$G$7</c:f>
              <c:numCache>
                <c:formatCode>General</c:formatCode>
                <c:ptCount val="6"/>
                <c:pt idx="0">
                  <c:v>0.79951499999999998</c:v>
                </c:pt>
                <c:pt idx="1">
                  <c:v>0.59326999999999996</c:v>
                </c:pt>
                <c:pt idx="2">
                  <c:v>0.66725000000000001</c:v>
                </c:pt>
                <c:pt idx="3">
                  <c:v>0.43772899999999998</c:v>
                </c:pt>
                <c:pt idx="4">
                  <c:v>0.72958199999999995</c:v>
                </c:pt>
                <c:pt idx="5">
                  <c:v>0.81873300000000004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9-4340-B66A-A65AC8A1E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1777999"/>
        <c:axId val="2101779247"/>
      </c:barChart>
      <c:catAx>
        <c:axId val="210177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1779247"/>
        <c:crosses val="autoZero"/>
        <c:auto val="1"/>
        <c:lblAlgn val="ctr"/>
        <c:lblOffset val="100"/>
        <c:noMultiLvlLbl val="0"/>
      </c:catAx>
      <c:valAx>
        <c:axId val="210177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177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query_performance_100_indexed!$M$17</c:f>
              <c:strCache>
                <c:ptCount val="1"/>
                <c:pt idx="0">
                  <c:v>Avg_time_star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query_performance_100_indexed!$K$18:$K$23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query_performance_100_indexed!$M$18:$M$23</c:f>
              <c:numCache>
                <c:formatCode>General</c:formatCode>
                <c:ptCount val="6"/>
                <c:pt idx="0">
                  <c:v>0.56900700000000004</c:v>
                </c:pt>
                <c:pt idx="1">
                  <c:v>0.41506900000000002</c:v>
                </c:pt>
                <c:pt idx="2">
                  <c:v>0.55072100000000002</c:v>
                </c:pt>
                <c:pt idx="3">
                  <c:v>0.30592399999999997</c:v>
                </c:pt>
                <c:pt idx="4">
                  <c:v>0.59246500000000002</c:v>
                </c:pt>
                <c:pt idx="5">
                  <c:v>0.72670400000000002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9-4789-8F8B-DFF8688FF59E}"/>
            </c:ext>
          </c:extLst>
        </c:ser>
        <c:ser>
          <c:idx val="1"/>
          <c:order val="1"/>
          <c:tx>
            <c:strRef>
              <c:f>query_performance_100_indexed!$Q$17</c:f>
              <c:strCache>
                <c:ptCount val="1"/>
                <c:pt idx="0">
                  <c:v>Avg_time_snowflake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query_performance_100_indexed!$K$18:$K$23</c:f>
              <c:strCache>
                <c:ptCount val="6"/>
                <c:pt idx="0">
                  <c:v>traffic_per_day</c:v>
                </c:pt>
                <c:pt idx="1">
                  <c:v>events_per_day</c:v>
                </c:pt>
                <c:pt idx="2">
                  <c:v>top_source_ips</c:v>
                </c:pt>
                <c:pt idx="3">
                  <c:v>blocked_connections</c:v>
                </c:pt>
                <c:pt idx="4">
                  <c:v>events_by_log_type_action</c:v>
                </c:pt>
                <c:pt idx="5">
                  <c:v>traffic_by_protocol_threat</c:v>
                </c:pt>
              </c:strCache>
            </c:strRef>
          </c:cat>
          <c:val>
            <c:numRef>
              <c:f>query_performance_100_indexed!$Q$18:$Q$23</c:f>
              <c:numCache>
                <c:formatCode>General</c:formatCode>
                <c:ptCount val="6"/>
                <c:pt idx="0">
                  <c:v>0.786246</c:v>
                </c:pt>
                <c:pt idx="1">
                  <c:v>0.435751</c:v>
                </c:pt>
                <c:pt idx="2">
                  <c:v>0.64405500000000004</c:v>
                </c:pt>
                <c:pt idx="3">
                  <c:v>0.30669099999999999</c:v>
                </c:pt>
                <c:pt idx="4">
                  <c:v>0.59169400000000005</c:v>
                </c:pt>
                <c:pt idx="5">
                  <c:v>0.814913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9-4789-8F8B-DFF8688FF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165071"/>
        <c:axId val="1754163407"/>
      </c:barChart>
      <c:catAx>
        <c:axId val="175416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4163407"/>
        <c:crosses val="autoZero"/>
        <c:auto val="1"/>
        <c:lblAlgn val="ctr"/>
        <c:lblOffset val="100"/>
        <c:noMultiLvlLbl val="0"/>
      </c:catAx>
      <c:valAx>
        <c:axId val="175416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416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1611284</xdr:colOff>
      <xdr:row>8</xdr:row>
      <xdr:rowOff>2079</xdr:rowOff>
    </xdr:from>
    <xdr:to>
      <xdr:col>8</xdr:col>
      <xdr:colOff>293370</xdr:colOff>
      <xdr:row>26</xdr:row>
      <xdr:rowOff>8659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C7B7917-402E-44AC-B886-C6EA85B6E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601808</xdr:colOff>
      <xdr:row>7</xdr:row>
      <xdr:rowOff>178378</xdr:rowOff>
    </xdr:from>
    <xdr:to>
      <xdr:col>17</xdr:col>
      <xdr:colOff>324717</xdr:colOff>
      <xdr:row>25</xdr:row>
      <xdr:rowOff>173182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6F220C2-5415-4D66-B682-3FDDF0DC3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4329</xdr:colOff>
      <xdr:row>26</xdr:row>
      <xdr:rowOff>169719</xdr:rowOff>
    </xdr:from>
    <xdr:to>
      <xdr:col>8</xdr:col>
      <xdr:colOff>333374</xdr:colOff>
      <xdr:row>42</xdr:row>
      <xdr:rowOff>3465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1F40DB1-AF1B-48ED-BF60-4B5C9F13A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601807</xdr:colOff>
      <xdr:row>27</xdr:row>
      <xdr:rowOff>5196</xdr:rowOff>
    </xdr:from>
    <xdr:to>
      <xdr:col>17</xdr:col>
      <xdr:colOff>324716</xdr:colOff>
      <xdr:row>42</xdr:row>
      <xdr:rowOff>20783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5625310-AF34-4BF2-8C93-56968B2BF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59167</xdr:colOff>
      <xdr:row>30</xdr:row>
      <xdr:rowOff>49126</xdr:rowOff>
    </xdr:from>
    <xdr:to>
      <xdr:col>15</xdr:col>
      <xdr:colOff>363968</xdr:colOff>
      <xdr:row>45</xdr:row>
      <xdr:rowOff>70863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C06A86-1125-4597-9915-EB015399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159379</xdr:colOff>
      <xdr:row>28</xdr:row>
      <xdr:rowOff>56969</xdr:rowOff>
    </xdr:from>
    <xdr:to>
      <xdr:col>7</xdr:col>
      <xdr:colOff>464178</xdr:colOff>
      <xdr:row>43</xdr:row>
      <xdr:rowOff>56968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1AC9F47-6227-47FB-8E5E-51A1C0D0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4380</xdr:colOff>
      <xdr:row>30</xdr:row>
      <xdr:rowOff>82330</xdr:rowOff>
    </xdr:from>
    <xdr:to>
      <xdr:col>21</xdr:col>
      <xdr:colOff>573690</xdr:colOff>
      <xdr:row>45</xdr:row>
      <xdr:rowOff>66564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679A99C-83DA-40AD-B19E-B2DCD2FB3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y_performance_new_new" displayName="query_performance_new_new" ref="A1:I7" totalsRowShown="0">
  <autoFilter ref="A1:I7" xr:uid="{00000000-0009-0000-0100-000001000000}"/>
  <tableColumns count="9">
    <tableColumn id="1" xr3:uid="{00000000-0010-0000-0000-000001000000}" name="Query" dataDxfId="3"/>
    <tableColumn id="2" xr3:uid="{00000000-0010-0000-0000-000002000000}" name="Sum_time_star"/>
    <tableColumn id="3" xr3:uid="{00000000-0010-0000-0000-000003000000}" name="Avg_time_star"/>
    <tableColumn id="4" xr3:uid="{00000000-0010-0000-0000-000004000000}" name="Min_time_star"/>
    <tableColumn id="5" xr3:uid="{00000000-0010-0000-0000-000005000000}" name="Max_time_star"/>
    <tableColumn id="6" xr3:uid="{00000000-0010-0000-0000-000006000000}" name="Sum_time_snowflake"/>
    <tableColumn id="7" xr3:uid="{00000000-0010-0000-0000-000007000000}" name="Avg_time_snowflake"/>
    <tableColumn id="8" xr3:uid="{00000000-0010-0000-0000-000008000000}" name="Min_time_snowflake"/>
    <tableColumn id="9" xr3:uid="{00000000-0010-0000-0000-000009000000}" name="Max_time_snowflak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I7" sqref="A2:I7"/>
    </sheetView>
  </sheetViews>
  <sheetFormatPr defaultRowHeight="14.4" x14ac:dyDescent="0.3"/>
  <cols>
    <col min="1" max="1" width="23.6640625" bestFit="1" customWidth="1"/>
    <col min="2" max="2" width="16" bestFit="1" customWidth="1"/>
    <col min="3" max="3" width="15.44140625" bestFit="1" customWidth="1"/>
    <col min="4" max="4" width="15.5546875" bestFit="1" customWidth="1"/>
    <col min="5" max="5" width="15.88671875" bestFit="1" customWidth="1"/>
    <col min="6" max="6" width="21.5546875" bestFit="1" customWidth="1"/>
    <col min="7" max="7" width="21" bestFit="1" customWidth="1"/>
    <col min="8" max="8" width="21.109375" bestFit="1" customWidth="1"/>
    <col min="9" max="9" width="2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56.900694999999999</v>
      </c>
      <c r="C2">
        <v>0.56900700000000004</v>
      </c>
      <c r="D2">
        <v>0.55002300000000004</v>
      </c>
      <c r="E2">
        <v>0.63080400000000003</v>
      </c>
      <c r="F2">
        <v>78.624565000000004</v>
      </c>
      <c r="G2">
        <v>0.786246</v>
      </c>
      <c r="H2">
        <v>0.76642600000000005</v>
      </c>
      <c r="I2">
        <v>0.87178199999999995</v>
      </c>
    </row>
    <row r="3" spans="1:9" x14ac:dyDescent="0.3">
      <c r="A3" s="1" t="s">
        <v>10</v>
      </c>
      <c r="B3">
        <v>41.506850999999997</v>
      </c>
      <c r="C3">
        <v>0.41506900000000002</v>
      </c>
      <c r="D3">
        <v>0.408638</v>
      </c>
      <c r="E3">
        <v>0.44999699999999998</v>
      </c>
      <c r="F3">
        <v>43.575104000000003</v>
      </c>
      <c r="G3">
        <v>0.435751</v>
      </c>
      <c r="H3">
        <v>0.42440699999999998</v>
      </c>
      <c r="I3">
        <v>0.47600100000000001</v>
      </c>
    </row>
    <row r="4" spans="1:9" x14ac:dyDescent="0.3">
      <c r="A4" s="1" t="s">
        <v>11</v>
      </c>
      <c r="B4">
        <v>55.07206</v>
      </c>
      <c r="C4">
        <v>0.55072100000000002</v>
      </c>
      <c r="D4">
        <v>0.52966100000000005</v>
      </c>
      <c r="E4">
        <v>0.65250799999999998</v>
      </c>
      <c r="F4">
        <v>64.405525999999995</v>
      </c>
      <c r="G4">
        <v>0.64405500000000004</v>
      </c>
      <c r="H4">
        <v>0.62837799999999999</v>
      </c>
      <c r="I4">
        <v>0.68165100000000001</v>
      </c>
    </row>
    <row r="5" spans="1:9" x14ac:dyDescent="0.3">
      <c r="A5" s="1" t="s">
        <v>12</v>
      </c>
      <c r="B5">
        <v>30.592411999999999</v>
      </c>
      <c r="C5">
        <v>0.30592399999999997</v>
      </c>
      <c r="D5">
        <v>0.29885800000000001</v>
      </c>
      <c r="E5">
        <v>0.345999</v>
      </c>
      <c r="F5">
        <v>30.669094000000001</v>
      </c>
      <c r="G5">
        <v>0.30669099999999999</v>
      </c>
      <c r="H5">
        <v>0.29883100000000001</v>
      </c>
      <c r="I5">
        <v>0.37499900000000003</v>
      </c>
    </row>
    <row r="6" spans="1:9" x14ac:dyDescent="0.3">
      <c r="A6" s="1" t="s">
        <v>13</v>
      </c>
      <c r="B6">
        <v>59.246496999999998</v>
      </c>
      <c r="C6">
        <v>0.59246500000000002</v>
      </c>
      <c r="D6">
        <v>0.58199999999999996</v>
      </c>
      <c r="E6">
        <v>0.62296899999999999</v>
      </c>
      <c r="F6">
        <v>59.169376</v>
      </c>
      <c r="G6">
        <v>0.59169400000000005</v>
      </c>
      <c r="H6">
        <v>0.58199999999999996</v>
      </c>
      <c r="I6">
        <v>0.633772</v>
      </c>
    </row>
    <row r="7" spans="1:9" x14ac:dyDescent="0.3">
      <c r="A7" s="1" t="s">
        <v>14</v>
      </c>
      <c r="B7">
        <v>72.670383999999999</v>
      </c>
      <c r="C7">
        <v>0.72670400000000002</v>
      </c>
      <c r="D7">
        <v>0.71054499999999998</v>
      </c>
      <c r="E7">
        <v>0.783995</v>
      </c>
      <c r="F7">
        <v>81.491293999999996</v>
      </c>
      <c r="G7">
        <v>0.814913</v>
      </c>
      <c r="H7">
        <v>0.79899900000000001</v>
      </c>
      <c r="I7">
        <v>0.90478400000000003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tabSelected="1" topLeftCell="G1" zoomScale="113" workbookViewId="0">
      <selection activeCell="U10" sqref="U10"/>
    </sheetView>
  </sheetViews>
  <sheetFormatPr defaultRowHeight="14.4" x14ac:dyDescent="0.3"/>
  <cols>
    <col min="1" max="1" width="23.6640625" bestFit="1" customWidth="1"/>
  </cols>
  <sheetData>
    <row r="1" spans="1:22" s="2" customFormat="1" ht="30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3" t="s">
        <v>0</v>
      </c>
      <c r="L1" s="3" t="s">
        <v>1</v>
      </c>
      <c r="M1" s="3" t="s">
        <v>18</v>
      </c>
      <c r="N1" s="3" t="s">
        <v>3</v>
      </c>
      <c r="O1" s="3" t="s">
        <v>4</v>
      </c>
      <c r="P1" s="3" t="s">
        <v>5</v>
      </c>
      <c r="Q1" s="3" t="s">
        <v>19</v>
      </c>
      <c r="R1" s="3" t="s">
        <v>7</v>
      </c>
      <c r="S1" s="3" t="s">
        <v>8</v>
      </c>
      <c r="U1" s="3" t="s">
        <v>15</v>
      </c>
      <c r="V1" s="3" t="s">
        <v>16</v>
      </c>
    </row>
    <row r="2" spans="1:22" x14ac:dyDescent="0.3">
      <c r="A2" t="s">
        <v>9</v>
      </c>
      <c r="B2">
        <v>58.610111000000003</v>
      </c>
      <c r="C2">
        <v>0.58610099999999998</v>
      </c>
      <c r="D2">
        <v>0.55461400000000005</v>
      </c>
      <c r="E2">
        <v>0.643957</v>
      </c>
      <c r="F2">
        <v>79.951481999999999</v>
      </c>
      <c r="G2">
        <v>0.79951499999999998</v>
      </c>
      <c r="H2">
        <v>0.76961500000000005</v>
      </c>
      <c r="I2">
        <v>1.257328</v>
      </c>
      <c r="K2" t="s">
        <v>9</v>
      </c>
      <c r="L2">
        <v>58.185090000000002</v>
      </c>
      <c r="M2">
        <v>0.58185100000000001</v>
      </c>
      <c r="N2">
        <v>0.55300300000000002</v>
      </c>
      <c r="O2">
        <v>0.64299499999999998</v>
      </c>
      <c r="P2">
        <v>79.808948000000001</v>
      </c>
      <c r="Q2">
        <v>0.79808900000000005</v>
      </c>
      <c r="R2">
        <v>0.76927400000000001</v>
      </c>
      <c r="S2">
        <v>0.86496899999999999</v>
      </c>
      <c r="U2">
        <f>B2/L2*100</f>
        <v>100.73046376657663</v>
      </c>
      <c r="V2">
        <f>F2/P2*100</f>
        <v>100.17859400928326</v>
      </c>
    </row>
    <row r="3" spans="1:22" x14ac:dyDescent="0.3">
      <c r="A3" t="s">
        <v>10</v>
      </c>
      <c r="B3">
        <v>44.100991</v>
      </c>
      <c r="C3">
        <v>0.44101000000000001</v>
      </c>
      <c r="D3">
        <v>0.41769499999999998</v>
      </c>
      <c r="E3">
        <v>0.48269899999999999</v>
      </c>
      <c r="F3">
        <v>59.327016</v>
      </c>
      <c r="G3">
        <v>0.59326999999999996</v>
      </c>
      <c r="H3">
        <v>0.55933200000000005</v>
      </c>
      <c r="I3">
        <v>0.661103</v>
      </c>
      <c r="K3" t="s">
        <v>10</v>
      </c>
      <c r="L3">
        <v>41.440721000000003</v>
      </c>
      <c r="M3">
        <v>0.41440700000000003</v>
      </c>
      <c r="N3">
        <v>0.40743800000000002</v>
      </c>
      <c r="O3">
        <v>0.45168900000000001</v>
      </c>
      <c r="P3">
        <v>42.945723999999998</v>
      </c>
      <c r="Q3">
        <v>0.42945699999999998</v>
      </c>
      <c r="R3">
        <v>0.42377199999999998</v>
      </c>
      <c r="S3">
        <v>0.49354500000000001</v>
      </c>
      <c r="U3">
        <f t="shared" ref="U3:U7" si="0">B3/L3*100</f>
        <v>106.41945877341274</v>
      </c>
      <c r="V3">
        <f t="shared" ref="V3:V7" si="1">F3/P3*100</f>
        <v>138.14417472621955</v>
      </c>
    </row>
    <row r="4" spans="1:22" x14ac:dyDescent="0.3">
      <c r="A4" t="s">
        <v>11</v>
      </c>
      <c r="B4">
        <v>57.115538999999998</v>
      </c>
      <c r="C4">
        <v>0.57115499999999997</v>
      </c>
      <c r="D4">
        <v>0.53067200000000003</v>
      </c>
      <c r="E4">
        <v>0.73066900000000001</v>
      </c>
      <c r="F4">
        <v>66.725022999999993</v>
      </c>
      <c r="G4">
        <v>0.66725000000000001</v>
      </c>
      <c r="H4">
        <v>0.62265800000000004</v>
      </c>
      <c r="I4">
        <v>0.75882899999999998</v>
      </c>
      <c r="K4" t="s">
        <v>11</v>
      </c>
      <c r="L4">
        <v>55.848799</v>
      </c>
      <c r="M4">
        <v>0.55848799999999998</v>
      </c>
      <c r="N4">
        <v>0.52683100000000005</v>
      </c>
      <c r="O4">
        <v>0.66141700000000003</v>
      </c>
      <c r="P4">
        <v>63.704053999999999</v>
      </c>
      <c r="Q4">
        <v>0.63704099999999997</v>
      </c>
      <c r="R4">
        <v>0.62101399999999995</v>
      </c>
      <c r="S4">
        <v>0.73272000000000004</v>
      </c>
      <c r="U4">
        <f t="shared" si="0"/>
        <v>102.26815978621133</v>
      </c>
      <c r="V4">
        <f t="shared" si="1"/>
        <v>104.74219270252408</v>
      </c>
    </row>
    <row r="5" spans="1:22" x14ac:dyDescent="0.3">
      <c r="A5" t="s">
        <v>12</v>
      </c>
      <c r="B5">
        <v>35.354799</v>
      </c>
      <c r="C5">
        <v>0.35354799999999997</v>
      </c>
      <c r="D5">
        <v>0.32851799999999998</v>
      </c>
      <c r="E5">
        <v>0.41216599999999998</v>
      </c>
      <c r="F5">
        <v>43.772857000000002</v>
      </c>
      <c r="G5">
        <v>0.43772899999999998</v>
      </c>
      <c r="H5">
        <v>0.42200100000000001</v>
      </c>
      <c r="I5">
        <v>0.493479</v>
      </c>
      <c r="K5" t="s">
        <v>12</v>
      </c>
      <c r="L5">
        <v>30.522877000000001</v>
      </c>
      <c r="M5">
        <v>0.30522899999999997</v>
      </c>
      <c r="N5">
        <v>0.29800100000000002</v>
      </c>
      <c r="O5">
        <v>0.348584</v>
      </c>
      <c r="P5">
        <v>30.669581999999998</v>
      </c>
      <c r="Q5">
        <v>0.30669600000000002</v>
      </c>
      <c r="R5">
        <v>0.29729699999999998</v>
      </c>
      <c r="S5">
        <v>0.38167800000000002</v>
      </c>
      <c r="U5">
        <f t="shared" si="0"/>
        <v>115.8304933050708</v>
      </c>
      <c r="V5">
        <f t="shared" si="1"/>
        <v>142.72400908496243</v>
      </c>
    </row>
    <row r="6" spans="1:22" x14ac:dyDescent="0.3">
      <c r="A6" t="s">
        <v>13</v>
      </c>
      <c r="B6">
        <v>63.096541999999999</v>
      </c>
      <c r="C6">
        <v>0.630965</v>
      </c>
      <c r="D6">
        <v>0.61564799999999997</v>
      </c>
      <c r="E6">
        <v>0.67132199999999997</v>
      </c>
      <c r="F6">
        <v>72.958213999999998</v>
      </c>
      <c r="G6">
        <v>0.72958199999999995</v>
      </c>
      <c r="H6">
        <v>0.71099999999999997</v>
      </c>
      <c r="I6">
        <v>0.77567299999999995</v>
      </c>
      <c r="K6" t="s">
        <v>13</v>
      </c>
      <c r="L6">
        <v>59.273471999999998</v>
      </c>
      <c r="M6">
        <v>0.59273500000000001</v>
      </c>
      <c r="N6">
        <v>0.58141299999999996</v>
      </c>
      <c r="O6">
        <v>0.65363800000000005</v>
      </c>
      <c r="P6">
        <v>60.087076000000003</v>
      </c>
      <c r="Q6">
        <v>0.60087100000000004</v>
      </c>
      <c r="R6">
        <v>0.58286199999999999</v>
      </c>
      <c r="S6">
        <v>0.63868800000000003</v>
      </c>
      <c r="U6">
        <f t="shared" si="0"/>
        <v>106.449883684897</v>
      </c>
      <c r="V6">
        <f t="shared" si="1"/>
        <v>121.42080936006936</v>
      </c>
    </row>
    <row r="7" spans="1:22" x14ac:dyDescent="0.3">
      <c r="A7" t="s">
        <v>14</v>
      </c>
      <c r="B7">
        <v>72.714072000000002</v>
      </c>
      <c r="C7">
        <v>0.72714100000000004</v>
      </c>
      <c r="D7">
        <v>0.71062499999999995</v>
      </c>
      <c r="E7">
        <v>0.77800100000000005</v>
      </c>
      <c r="F7">
        <v>81.873279999999994</v>
      </c>
      <c r="G7">
        <v>0.81873300000000004</v>
      </c>
      <c r="H7">
        <v>0.79964999999999997</v>
      </c>
      <c r="I7">
        <v>0.85896300000000003</v>
      </c>
      <c r="K7" t="s">
        <v>14</v>
      </c>
      <c r="L7">
        <v>72.113670999999997</v>
      </c>
      <c r="M7">
        <v>0.72113700000000003</v>
      </c>
      <c r="N7">
        <v>0.70652199999999998</v>
      </c>
      <c r="O7">
        <v>0.76552500000000001</v>
      </c>
      <c r="P7">
        <v>81.388047999999998</v>
      </c>
      <c r="Q7">
        <v>0.81388000000000005</v>
      </c>
      <c r="R7">
        <v>0.79656099999999996</v>
      </c>
      <c r="S7">
        <v>0.86877099999999996</v>
      </c>
      <c r="U7">
        <f t="shared" si="0"/>
        <v>100.83257583711138</v>
      </c>
      <c r="V7">
        <f t="shared" si="1"/>
        <v>100.59619564779338</v>
      </c>
    </row>
    <row r="8" spans="1:22" x14ac:dyDescent="0.3">
      <c r="U8">
        <f>SUM(U2:U7)/6-100</f>
        <v>5.4218391922133122</v>
      </c>
      <c r="V8">
        <f>SUM(V2:V7)/6-100</f>
        <v>17.967662588475335</v>
      </c>
    </row>
  </sheetData>
  <conditionalFormatting sqref="U2:V8">
    <cfRule type="cellIs" dxfId="2" priority="2" operator="greaterThan">
      <formula>100</formula>
    </cfRule>
    <cfRule type="cellIs" dxfId="1" priority="1" operator="greaterThan">
      <formula>100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3"/>
  <sheetViews>
    <sheetView topLeftCell="K1" zoomScale="81" zoomScaleNormal="85" workbookViewId="0">
      <selection activeCell="U1" sqref="U1:V7"/>
    </sheetView>
  </sheetViews>
  <sheetFormatPr defaultRowHeight="14.4" x14ac:dyDescent="0.3"/>
  <cols>
    <col min="1" max="1" width="24.5546875" bestFit="1" customWidth="1"/>
    <col min="9" max="9" width="11.88671875" customWidth="1"/>
    <col min="10" max="10" width="17.5546875" customWidth="1"/>
    <col min="11" max="11" width="24.5546875" bestFit="1" customWidth="1"/>
    <col min="19" max="19" width="19.33203125" bestFit="1" customWidth="1"/>
    <col min="21" max="21" width="12.21875" bestFit="1" customWidth="1"/>
    <col min="22" max="22" width="1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U1" t="s">
        <v>15</v>
      </c>
      <c r="V1" t="s">
        <v>16</v>
      </c>
    </row>
    <row r="2" spans="1:23" x14ac:dyDescent="0.3">
      <c r="A2" t="s">
        <v>9</v>
      </c>
      <c r="B2">
        <v>58.610111000000003</v>
      </c>
      <c r="C2">
        <v>0.58610099999999998</v>
      </c>
      <c r="D2">
        <v>0.55461400000000005</v>
      </c>
      <c r="E2">
        <v>0.643957</v>
      </c>
      <c r="F2">
        <v>79.951481999999999</v>
      </c>
      <c r="G2">
        <v>0.79951499999999998</v>
      </c>
      <c r="H2">
        <v>0.76961500000000005</v>
      </c>
      <c r="I2">
        <v>1.257328</v>
      </c>
      <c r="K2" t="s">
        <v>9</v>
      </c>
      <c r="L2">
        <v>57.210281999999999</v>
      </c>
      <c r="M2">
        <v>0.57210300000000003</v>
      </c>
      <c r="N2">
        <v>0.55100000000000005</v>
      </c>
      <c r="O2">
        <v>0.68824399999999997</v>
      </c>
      <c r="P2">
        <v>78.565494999999999</v>
      </c>
      <c r="Q2">
        <v>0.78565499999999999</v>
      </c>
      <c r="R2">
        <v>0.76500000000000001</v>
      </c>
      <c r="S2">
        <v>0.87340700000000004</v>
      </c>
      <c r="U2">
        <f>B2/L2*100</f>
        <v>102.44681366891358</v>
      </c>
      <c r="V2">
        <f>F2/P2*100</f>
        <v>101.76411667742944</v>
      </c>
      <c r="W2" t="s">
        <v>17</v>
      </c>
    </row>
    <row r="3" spans="1:23" x14ac:dyDescent="0.3">
      <c r="A3" t="s">
        <v>10</v>
      </c>
      <c r="B3">
        <v>44.100991</v>
      </c>
      <c r="C3">
        <v>0.44101000000000001</v>
      </c>
      <c r="D3">
        <v>0.41769499999999998</v>
      </c>
      <c r="E3">
        <v>0.48269899999999999</v>
      </c>
      <c r="F3">
        <v>59.327016</v>
      </c>
      <c r="G3">
        <v>0.59326999999999996</v>
      </c>
      <c r="H3">
        <v>0.55933200000000005</v>
      </c>
      <c r="I3">
        <v>0.661103</v>
      </c>
      <c r="K3" t="s">
        <v>10</v>
      </c>
      <c r="L3">
        <v>41.505947999999997</v>
      </c>
      <c r="M3">
        <v>0.41505900000000001</v>
      </c>
      <c r="N3">
        <v>0.40701300000000001</v>
      </c>
      <c r="O3">
        <v>0.48971599999999998</v>
      </c>
      <c r="P3">
        <v>43.152949999999997</v>
      </c>
      <c r="Q3">
        <v>0.43153000000000002</v>
      </c>
      <c r="R3">
        <v>0.42199999999999999</v>
      </c>
      <c r="S3">
        <v>0.47689700000000002</v>
      </c>
      <c r="U3">
        <f t="shared" ref="U3:U7" si="0">B3/L3*100</f>
        <v>106.25221956139879</v>
      </c>
      <c r="V3">
        <f t="shared" ref="V3:V7" si="1">F3/P3*100</f>
        <v>137.48078868304486</v>
      </c>
    </row>
    <row r="4" spans="1:23" x14ac:dyDescent="0.3">
      <c r="A4" t="s">
        <v>11</v>
      </c>
      <c r="B4">
        <v>57.115538999999998</v>
      </c>
      <c r="C4">
        <v>0.57115499999999997</v>
      </c>
      <c r="D4">
        <v>0.53067200000000003</v>
      </c>
      <c r="E4">
        <v>0.73066900000000001</v>
      </c>
      <c r="F4">
        <v>66.725022999999993</v>
      </c>
      <c r="G4">
        <v>0.66725000000000001</v>
      </c>
      <c r="H4">
        <v>0.62265800000000004</v>
      </c>
      <c r="I4">
        <v>0.75882899999999998</v>
      </c>
      <c r="K4" t="s">
        <v>11</v>
      </c>
      <c r="L4">
        <v>54.668081000000001</v>
      </c>
      <c r="M4">
        <v>0.54668099999999997</v>
      </c>
      <c r="N4">
        <v>0.52959199999999995</v>
      </c>
      <c r="O4">
        <v>0.58975200000000005</v>
      </c>
      <c r="P4">
        <v>65.360783999999995</v>
      </c>
      <c r="Q4">
        <v>0.65360799999999997</v>
      </c>
      <c r="R4">
        <v>0.63062399999999996</v>
      </c>
      <c r="S4">
        <v>0.749</v>
      </c>
      <c r="U4">
        <f t="shared" si="0"/>
        <v>104.47694148986133</v>
      </c>
      <c r="V4">
        <f t="shared" si="1"/>
        <v>102.08724393514007</v>
      </c>
    </row>
    <row r="5" spans="1:23" x14ac:dyDescent="0.3">
      <c r="A5" t="s">
        <v>12</v>
      </c>
      <c r="B5">
        <v>35.354799</v>
      </c>
      <c r="C5">
        <v>0.35354799999999997</v>
      </c>
      <c r="D5">
        <v>0.32851799999999998</v>
      </c>
      <c r="E5">
        <v>0.41216599999999998</v>
      </c>
      <c r="F5">
        <v>43.772857000000002</v>
      </c>
      <c r="G5">
        <v>0.43772899999999998</v>
      </c>
      <c r="H5">
        <v>0.42200100000000001</v>
      </c>
      <c r="I5">
        <v>0.493479</v>
      </c>
      <c r="K5" t="s">
        <v>12</v>
      </c>
      <c r="L5">
        <v>34.395243999999998</v>
      </c>
      <c r="M5">
        <v>0.34395199999999998</v>
      </c>
      <c r="N5">
        <v>0.32858999999999999</v>
      </c>
      <c r="O5">
        <v>0.41400100000000001</v>
      </c>
      <c r="P5">
        <v>43.953847000000003</v>
      </c>
      <c r="Q5">
        <v>0.43953799999999998</v>
      </c>
      <c r="R5">
        <v>0.42000100000000001</v>
      </c>
      <c r="S5">
        <v>0.48299900000000001</v>
      </c>
      <c r="U5">
        <f t="shared" si="0"/>
        <v>102.78978977442348</v>
      </c>
      <c r="V5">
        <f t="shared" si="1"/>
        <v>99.588227169285091</v>
      </c>
    </row>
    <row r="6" spans="1:23" x14ac:dyDescent="0.3">
      <c r="A6" t="s">
        <v>13</v>
      </c>
      <c r="B6">
        <v>63.096541999999999</v>
      </c>
      <c r="C6">
        <v>0.630965</v>
      </c>
      <c r="D6">
        <v>0.61564799999999997</v>
      </c>
      <c r="E6">
        <v>0.67132199999999997</v>
      </c>
      <c r="F6">
        <v>72.958213999999998</v>
      </c>
      <c r="G6">
        <v>0.72958199999999995</v>
      </c>
      <c r="H6">
        <v>0.71099999999999997</v>
      </c>
      <c r="I6">
        <v>0.77567299999999995</v>
      </c>
      <c r="K6" t="s">
        <v>13</v>
      </c>
      <c r="L6">
        <v>63.194724000000001</v>
      </c>
      <c r="M6">
        <v>0.63194700000000004</v>
      </c>
      <c r="N6">
        <v>0.61555199999999999</v>
      </c>
      <c r="O6">
        <v>0.678983</v>
      </c>
      <c r="P6">
        <v>72.687038999999999</v>
      </c>
      <c r="Q6">
        <v>0.72687000000000002</v>
      </c>
      <c r="R6">
        <v>0.71162999999999998</v>
      </c>
      <c r="S6">
        <v>0.75778599999999996</v>
      </c>
      <c r="U6">
        <f t="shared" si="0"/>
        <v>99.844635764213479</v>
      </c>
      <c r="V6">
        <f t="shared" si="1"/>
        <v>100.37307201356765</v>
      </c>
    </row>
    <row r="7" spans="1:23" x14ac:dyDescent="0.3">
      <c r="A7" t="s">
        <v>14</v>
      </c>
      <c r="B7">
        <v>72.714072000000002</v>
      </c>
      <c r="C7">
        <v>0.72714100000000004</v>
      </c>
      <c r="D7">
        <v>0.71062499999999995</v>
      </c>
      <c r="E7">
        <v>0.77800100000000005</v>
      </c>
      <c r="F7">
        <v>81.873279999999994</v>
      </c>
      <c r="G7">
        <v>0.81873300000000004</v>
      </c>
      <c r="H7">
        <v>0.79964999999999997</v>
      </c>
      <c r="I7">
        <v>0.85896300000000003</v>
      </c>
      <c r="K7" t="s">
        <v>14</v>
      </c>
      <c r="L7">
        <v>72.711186999999995</v>
      </c>
      <c r="M7">
        <v>0.72711199999999998</v>
      </c>
      <c r="N7">
        <v>0.70898000000000005</v>
      </c>
      <c r="O7">
        <v>0.80424600000000002</v>
      </c>
      <c r="P7">
        <v>82.101226999999994</v>
      </c>
      <c r="Q7">
        <v>0.82101199999999996</v>
      </c>
      <c r="R7">
        <v>0.80051000000000005</v>
      </c>
      <c r="S7">
        <v>0.87026099999999995</v>
      </c>
      <c r="U7">
        <f t="shared" si="0"/>
        <v>100.00396775258255</v>
      </c>
      <c r="V7">
        <f t="shared" si="1"/>
        <v>99.722358595201015</v>
      </c>
    </row>
    <row r="9" spans="1:23" x14ac:dyDescent="0.3">
      <c r="K9" t="s">
        <v>0</v>
      </c>
      <c r="L9" t="s">
        <v>1</v>
      </c>
      <c r="M9" t="s">
        <v>2</v>
      </c>
      <c r="N9" t="s">
        <v>3</v>
      </c>
      <c r="O9" t="s">
        <v>4</v>
      </c>
      <c r="P9" t="s">
        <v>5</v>
      </c>
      <c r="Q9" t="s">
        <v>6</v>
      </c>
      <c r="R9" t="s">
        <v>7</v>
      </c>
      <c r="S9" t="s">
        <v>8</v>
      </c>
    </row>
    <row r="10" spans="1:23" x14ac:dyDescent="0.3">
      <c r="K10" t="s">
        <v>9</v>
      </c>
      <c r="L10">
        <v>56.317835000000002</v>
      </c>
      <c r="M10">
        <v>0.56317799999999996</v>
      </c>
      <c r="N10">
        <v>0.54606100000000002</v>
      </c>
      <c r="O10">
        <v>0.60338199999999997</v>
      </c>
      <c r="P10">
        <v>78.105118000000004</v>
      </c>
      <c r="Q10">
        <v>0.78105100000000005</v>
      </c>
      <c r="R10">
        <v>0.76507499999999995</v>
      </c>
      <c r="S10">
        <v>0.81357299999999999</v>
      </c>
      <c r="U10">
        <f>B2/L10*100</f>
        <v>104.07024879418749</v>
      </c>
      <c r="V10">
        <f>F2/P10*100</f>
        <v>102.3639475200588</v>
      </c>
    </row>
    <row r="11" spans="1:23" x14ac:dyDescent="0.3">
      <c r="K11" t="s">
        <v>10</v>
      </c>
      <c r="L11">
        <v>41.603538999999998</v>
      </c>
      <c r="M11">
        <v>0.41603499999999999</v>
      </c>
      <c r="N11">
        <v>0.40707900000000002</v>
      </c>
      <c r="O11">
        <v>0.494676</v>
      </c>
      <c r="P11">
        <v>43.171762000000001</v>
      </c>
      <c r="Q11">
        <v>0.43171799999999999</v>
      </c>
      <c r="R11">
        <v>0.42300100000000002</v>
      </c>
      <c r="S11">
        <v>0.47299799999999997</v>
      </c>
      <c r="U11">
        <f t="shared" ref="U11:U15" si="2">B3/L11*100</f>
        <v>106.00297969843385</v>
      </c>
      <c r="V11">
        <f t="shared" ref="V11:V15" si="3">F3/P11*100</f>
        <v>137.42088173283267</v>
      </c>
    </row>
    <row r="12" spans="1:23" x14ac:dyDescent="0.3">
      <c r="K12" t="s">
        <v>11</v>
      </c>
      <c r="L12">
        <v>54.599848000000001</v>
      </c>
      <c r="M12">
        <v>0.54599799999999998</v>
      </c>
      <c r="N12">
        <v>0.529497</v>
      </c>
      <c r="O12">
        <v>0.59000300000000006</v>
      </c>
      <c r="P12">
        <v>63.869492999999999</v>
      </c>
      <c r="Q12">
        <v>0.63869500000000001</v>
      </c>
      <c r="R12">
        <v>0.62300199999999994</v>
      </c>
      <c r="S12">
        <v>0.71338699999999999</v>
      </c>
      <c r="U12">
        <f t="shared" si="2"/>
        <v>104.60750550074791</v>
      </c>
      <c r="V12">
        <f t="shared" si="3"/>
        <v>104.47088252289711</v>
      </c>
    </row>
    <row r="13" spans="1:23" x14ac:dyDescent="0.3">
      <c r="K13" t="s">
        <v>12</v>
      </c>
      <c r="L13">
        <v>30.618075999999999</v>
      </c>
      <c r="M13">
        <v>0.30618099999999998</v>
      </c>
      <c r="N13">
        <v>0.29699799999999998</v>
      </c>
      <c r="O13">
        <v>0.37692599999999998</v>
      </c>
      <c r="P13">
        <v>30.455552999999998</v>
      </c>
      <c r="Q13">
        <v>0.30455599999999999</v>
      </c>
      <c r="R13">
        <v>0.29704000000000003</v>
      </c>
      <c r="S13">
        <v>0.34507199999999999</v>
      </c>
      <c r="U13">
        <f t="shared" si="2"/>
        <v>115.47034830013487</v>
      </c>
      <c r="V13">
        <f t="shared" si="3"/>
        <v>143.72701424925697</v>
      </c>
    </row>
    <row r="14" spans="1:23" x14ac:dyDescent="0.3">
      <c r="K14" t="s">
        <v>13</v>
      </c>
      <c r="L14">
        <v>58.951070000000001</v>
      </c>
      <c r="M14">
        <v>0.58951100000000001</v>
      </c>
      <c r="N14">
        <v>0.57996400000000004</v>
      </c>
      <c r="O14">
        <v>0.65561999999999998</v>
      </c>
      <c r="P14">
        <v>58.615845</v>
      </c>
      <c r="Q14">
        <v>0.58615799999999996</v>
      </c>
      <c r="R14">
        <v>0.58040400000000003</v>
      </c>
      <c r="S14">
        <v>0.61605399999999999</v>
      </c>
      <c r="U14">
        <f t="shared" si="2"/>
        <v>107.03205556743922</v>
      </c>
      <c r="V14">
        <f t="shared" si="3"/>
        <v>124.46841634714983</v>
      </c>
    </row>
    <row r="15" spans="1:23" x14ac:dyDescent="0.3">
      <c r="K15" t="s">
        <v>14</v>
      </c>
      <c r="L15">
        <v>72.377854999999997</v>
      </c>
      <c r="M15">
        <v>0.72377899999999995</v>
      </c>
      <c r="N15">
        <v>0.70858600000000005</v>
      </c>
      <c r="O15">
        <v>0.79356400000000005</v>
      </c>
      <c r="P15">
        <v>82.241854000000004</v>
      </c>
      <c r="Q15">
        <v>0.82241900000000001</v>
      </c>
      <c r="R15">
        <v>0.79696400000000001</v>
      </c>
      <c r="S15">
        <v>0.88363999999999998</v>
      </c>
      <c r="U15">
        <f t="shared" si="2"/>
        <v>100.46453020747852</v>
      </c>
      <c r="V15">
        <f t="shared" si="3"/>
        <v>99.551841328868861</v>
      </c>
    </row>
    <row r="17" spans="11:22" x14ac:dyDescent="0.3">
      <c r="K17" t="s">
        <v>0</v>
      </c>
      <c r="L17" t="s">
        <v>1</v>
      </c>
      <c r="M17" t="s">
        <v>2</v>
      </c>
      <c r="N17" t="s">
        <v>3</v>
      </c>
      <c r="O17" t="s">
        <v>4</v>
      </c>
      <c r="P17" t="s">
        <v>5</v>
      </c>
      <c r="Q17" t="s">
        <v>6</v>
      </c>
      <c r="R17" t="s">
        <v>7</v>
      </c>
      <c r="S17" t="s">
        <v>8</v>
      </c>
    </row>
    <row r="18" spans="11:22" x14ac:dyDescent="0.3">
      <c r="K18" t="s">
        <v>9</v>
      </c>
      <c r="L18">
        <v>56.900694999999999</v>
      </c>
      <c r="M18">
        <v>0.56900700000000004</v>
      </c>
      <c r="N18">
        <v>0.55002300000000004</v>
      </c>
      <c r="O18">
        <v>0.63080400000000003</v>
      </c>
      <c r="P18">
        <v>78.624565000000004</v>
      </c>
      <c r="Q18">
        <v>0.786246</v>
      </c>
      <c r="R18">
        <v>0.76642600000000005</v>
      </c>
      <c r="S18">
        <v>0.87178199999999995</v>
      </c>
      <c r="U18">
        <f>B2/L18*100</f>
        <v>103.00420935104573</v>
      </c>
      <c r="V18">
        <f>F2/P18*100</f>
        <v>101.68766211933891</v>
      </c>
    </row>
    <row r="19" spans="11:22" x14ac:dyDescent="0.3">
      <c r="K19" t="s">
        <v>10</v>
      </c>
      <c r="L19">
        <v>41.506850999999997</v>
      </c>
      <c r="M19">
        <v>0.41506900000000002</v>
      </c>
      <c r="N19">
        <v>0.408638</v>
      </c>
      <c r="O19">
        <v>0.44999699999999998</v>
      </c>
      <c r="P19">
        <v>43.575104000000003</v>
      </c>
      <c r="Q19">
        <v>0.435751</v>
      </c>
      <c r="R19">
        <v>0.42440699999999998</v>
      </c>
      <c r="S19">
        <v>0.47600100000000001</v>
      </c>
      <c r="U19">
        <f t="shared" ref="U19:U23" si="4">B3/L19*100</f>
        <v>106.24990799711595</v>
      </c>
      <c r="V19">
        <f t="shared" ref="V19:V23" si="5">F3/P19*100</f>
        <v>136.14887987415932</v>
      </c>
    </row>
    <row r="20" spans="11:22" x14ac:dyDescent="0.3">
      <c r="K20" t="s">
        <v>11</v>
      </c>
      <c r="L20">
        <v>55.07206</v>
      </c>
      <c r="M20">
        <v>0.55072100000000002</v>
      </c>
      <c r="N20">
        <v>0.52966100000000005</v>
      </c>
      <c r="O20">
        <v>0.65250799999999998</v>
      </c>
      <c r="P20">
        <v>64.405525999999995</v>
      </c>
      <c r="Q20">
        <v>0.64405500000000004</v>
      </c>
      <c r="R20">
        <v>0.62837799999999999</v>
      </c>
      <c r="S20">
        <v>0.68165100000000001</v>
      </c>
      <c r="U20">
        <f t="shared" si="4"/>
        <v>103.71055486212065</v>
      </c>
      <c r="V20">
        <f t="shared" si="5"/>
        <v>103.60139438966773</v>
      </c>
    </row>
    <row r="21" spans="11:22" x14ac:dyDescent="0.3">
      <c r="K21" t="s">
        <v>12</v>
      </c>
      <c r="L21">
        <v>30.592411999999999</v>
      </c>
      <c r="M21">
        <v>0.30592399999999997</v>
      </c>
      <c r="N21">
        <v>0.29885800000000001</v>
      </c>
      <c r="O21">
        <v>0.345999</v>
      </c>
      <c r="P21">
        <v>30.669094000000001</v>
      </c>
      <c r="Q21">
        <v>0.30669099999999999</v>
      </c>
      <c r="R21">
        <v>0.29883100000000001</v>
      </c>
      <c r="S21">
        <v>0.37499900000000003</v>
      </c>
      <c r="U21">
        <f t="shared" si="4"/>
        <v>115.56721647184929</v>
      </c>
      <c r="V21">
        <f t="shared" si="5"/>
        <v>142.72628007857031</v>
      </c>
    </row>
    <row r="22" spans="11:22" x14ac:dyDescent="0.3">
      <c r="K22" t="s">
        <v>13</v>
      </c>
      <c r="L22">
        <v>59.246496999999998</v>
      </c>
      <c r="M22">
        <v>0.59246500000000002</v>
      </c>
      <c r="N22">
        <v>0.58199999999999996</v>
      </c>
      <c r="O22">
        <v>0.62296899999999999</v>
      </c>
      <c r="P22">
        <v>59.169376</v>
      </c>
      <c r="Q22">
        <v>0.59169400000000005</v>
      </c>
      <c r="R22">
        <v>0.58199999999999996</v>
      </c>
      <c r="S22">
        <v>0.633772</v>
      </c>
      <c r="U22">
        <f t="shared" si="4"/>
        <v>106.49835044255866</v>
      </c>
      <c r="V22">
        <f t="shared" si="5"/>
        <v>123.30401118308228</v>
      </c>
    </row>
    <row r="23" spans="11:22" x14ac:dyDescent="0.3">
      <c r="K23" t="s">
        <v>14</v>
      </c>
      <c r="L23">
        <v>72.670383999999999</v>
      </c>
      <c r="M23">
        <v>0.72670400000000002</v>
      </c>
      <c r="N23">
        <v>0.71054499999999998</v>
      </c>
      <c r="O23">
        <v>0.783995</v>
      </c>
      <c r="P23">
        <v>81.491293999999996</v>
      </c>
      <c r="Q23">
        <v>0.814913</v>
      </c>
      <c r="R23">
        <v>0.79899900000000001</v>
      </c>
      <c r="S23">
        <v>0.90478400000000003</v>
      </c>
      <c r="U23">
        <f t="shared" si="4"/>
        <v>100.06011802552193</v>
      </c>
      <c r="V23">
        <f t="shared" si="5"/>
        <v>100.46874455079826</v>
      </c>
    </row>
  </sheetData>
  <conditionalFormatting sqref="U2:V23">
    <cfRule type="cellIs" dxfId="0" priority="1" operator="greaterThan">
      <formula>100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77DBC6-9C59-4A18-8ADE-84F51EC84A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query_performance_new_new</vt:lpstr>
      <vt:lpstr>Лист1</vt:lpstr>
      <vt:lpstr>query_performance_100_indexed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Vasilisa</dc:creator>
  <cp:lastModifiedBy>Vasilisa</cp:lastModifiedBy>
  <dcterms:created xsi:type="dcterms:W3CDTF">2025-10-19T12:12:05Z</dcterms:created>
  <dcterms:modified xsi:type="dcterms:W3CDTF">2025-10-19T16:24:00Z</dcterms:modified>
</cp:coreProperties>
</file>